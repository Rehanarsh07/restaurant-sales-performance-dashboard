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rtfolio\04_Projects\01_Restaurant_Sales_Dashboard\Dataset\"/>
    </mc:Choice>
  </mc:AlternateContent>
  <xr:revisionPtr revIDLastSave="0" documentId="8_{BF774868-09C4-4591-A805-0C09BE3360DF}" xr6:coauthVersionLast="47" xr6:coauthVersionMax="47" xr10:uidLastSave="{00000000-0000-0000-0000-000000000000}"/>
  <bookViews>
    <workbookView xWindow="-108" yWindow="-108" windowWidth="23256" windowHeight="12456" firstSheet="4" activeTab="7" xr2:uid="{EF0C2027-F96E-46EB-984E-9FBB8F1D589C}"/>
  </bookViews>
  <sheets>
    <sheet name="Sales Data" sheetId="1" r:id="rId1"/>
    <sheet name="Clean_Data" sheetId="2" r:id="rId2"/>
    <sheet name="Dashboard_KPI" sheetId="3" r:id="rId3"/>
    <sheet name="Category_Analysis" sheetId="5" r:id="rId4"/>
    <sheet name="Monthly_Sales_Analysis" sheetId="7" r:id="rId5"/>
    <sheet name="Payment_Analysis" sheetId="11" r:id="rId6"/>
    <sheet name="Customer_Analysis" sheetId="12" r:id="rId7"/>
    <sheet name="Restaurant_Dashboard" sheetId="10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0" l="1"/>
  <c r="E6" i="10"/>
  <c r="B8" i="10"/>
  <c r="E8" i="10"/>
  <c r="B5" i="3"/>
  <c r="B4" i="3"/>
  <c r="B3" i="3"/>
  <c r="B2" i="3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</calcChain>
</file>

<file path=xl/sharedStrings.xml><?xml version="1.0" encoding="utf-8"?>
<sst xmlns="http://schemas.openxmlformats.org/spreadsheetml/2006/main" count="183" uniqueCount="57">
  <si>
    <t>Order_ID</t>
  </si>
  <si>
    <t>Date</t>
  </si>
  <si>
    <t>Customer_Type</t>
  </si>
  <si>
    <t>Food_Category</t>
  </si>
  <si>
    <t>Item_Name</t>
  </si>
  <si>
    <t>Quantity</t>
  </si>
  <si>
    <t>Price_Per_Item</t>
  </si>
  <si>
    <t>Total_Sales</t>
  </si>
  <si>
    <t>Payment_Method</t>
  </si>
  <si>
    <t>Regular</t>
  </si>
  <si>
    <t>Main Course</t>
  </si>
  <si>
    <t>Chicken Rice</t>
  </si>
  <si>
    <t>Cash</t>
  </si>
  <si>
    <t>New</t>
  </si>
  <si>
    <t>Beverage</t>
  </si>
  <si>
    <t>Fresh Juice</t>
  </si>
  <si>
    <t>Card</t>
  </si>
  <si>
    <t>Breakfast</t>
  </si>
  <si>
    <t>Paratha</t>
  </si>
  <si>
    <t>Biryani</t>
  </si>
  <si>
    <t>Dessert</t>
  </si>
  <si>
    <t>Kunafa</t>
  </si>
  <si>
    <t>Grilled Chicken</t>
  </si>
  <si>
    <t>Online</t>
  </si>
  <si>
    <t>Tea</t>
  </si>
  <si>
    <t>Egg Sandwich</t>
  </si>
  <si>
    <t>Burger</t>
  </si>
  <si>
    <t>Coffee</t>
  </si>
  <si>
    <t>Chicken Shawarma</t>
  </si>
  <si>
    <t>Ice Cream</t>
  </si>
  <si>
    <t>Omelette</t>
  </si>
  <si>
    <t>Fish Meal</t>
  </si>
  <si>
    <t>Mango Juice</t>
  </si>
  <si>
    <t>Sales_Month</t>
  </si>
  <si>
    <t>KPI</t>
  </si>
  <si>
    <t>Value</t>
  </si>
  <si>
    <t>Total Revenue</t>
  </si>
  <si>
    <t>Total Orders</t>
  </si>
  <si>
    <t>Average Order Value</t>
  </si>
  <si>
    <t>Total Items Sold</t>
  </si>
  <si>
    <t>Row Labels</t>
  </si>
  <si>
    <t>Grand Total</t>
  </si>
  <si>
    <t>Sum of Total_Sales</t>
  </si>
  <si>
    <t>January</t>
  </si>
  <si>
    <t>February</t>
  </si>
  <si>
    <t>March</t>
  </si>
  <si>
    <t>RESTAURANT SALES PERFORMANCE DASHBOARD</t>
  </si>
  <si>
    <t>TOTAL REVENUE</t>
  </si>
  <si>
    <t>TOTAL ORDERS</t>
  </si>
  <si>
    <t>AVERAGE ORDER VALUE</t>
  </si>
  <si>
    <t>TOTAL ITEMS SOLD</t>
  </si>
  <si>
    <t>VALUE</t>
  </si>
  <si>
    <t>SALES BY CATEGORY</t>
  </si>
  <si>
    <t>MONTHLY SALES TREND</t>
  </si>
  <si>
    <t>PAYMENT METHOD ANALYSIS</t>
  </si>
  <si>
    <t>CUSTOMER TYPE ANALYSIS</t>
  </si>
  <si>
    <t>Business Analytics Report | Restaurant Performance Overview |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</si>
</sst>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3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0" formatCode="dd/mm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0" formatCode="dd/mm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[Restaurant_Sales_Datasets.xlsx]Category_Analysis!PivotTable2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Contribution by Food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Category_Analysis!$A$2:$A$6</c:f>
              <c:strCache>
                <c:ptCount val="4"/>
                <c:pt idx="0">
                  <c:v>Beverage</c:v>
                </c:pt>
                <c:pt idx="1">
                  <c:v>Breakfast</c:v>
                </c:pt>
                <c:pt idx="2">
                  <c:v>Dessert</c:v>
                </c:pt>
                <c:pt idx="3">
                  <c:v>Main Course</c:v>
                </c:pt>
              </c:strCache>
            </c:strRef>
          </c:cat>
          <c:val>
            <c:numRef>
              <c:f>Category_Analysis!$B$2:$B$6</c:f>
              <c:numCache>
                <c:formatCode>General</c:formatCode>
                <c:ptCount val="4"/>
                <c:pt idx="0">
                  <c:v>61</c:v>
                </c:pt>
                <c:pt idx="1">
                  <c:v>42</c:v>
                </c:pt>
                <c:pt idx="2">
                  <c:v>39</c:v>
                </c:pt>
                <c:pt idx="3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A-4FB7-861F-3EC363920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2865631"/>
        <c:axId val="722856991"/>
      </c:barChart>
      <c:catAx>
        <c:axId val="72286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856991"/>
        <c:crosses val="autoZero"/>
        <c:auto val="1"/>
        <c:lblAlgn val="ctr"/>
        <c:lblOffset val="100"/>
        <c:noMultiLvlLbl val="0"/>
      </c:catAx>
      <c:valAx>
        <c:axId val="72285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86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[Restaurant_Sales_Datasets.xlsx]Monthly_Sales_Analysis!PivotTable4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Monthly_Sales_Analysis!$B$3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Monthly_Sales_Analysis!$A$4:$A$7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Monthly_Sales_Analysis!$B$4:$B$7</c:f>
              <c:numCache>
                <c:formatCode>General</c:formatCode>
                <c:ptCount val="3"/>
                <c:pt idx="0">
                  <c:v>117</c:v>
                </c:pt>
                <c:pt idx="1">
                  <c:v>90</c:v>
                </c:pt>
                <c:pt idx="2">
                  <c:v>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6-44C0-BA0B-238B3CFF1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2867071"/>
        <c:axId val="722867551"/>
      </c:lineChart>
      <c:catAx>
        <c:axId val="72286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867551"/>
        <c:crosses val="autoZero"/>
        <c:auto val="1"/>
        <c:lblAlgn val="ctr"/>
        <c:lblOffset val="100"/>
        <c:noMultiLvlLbl val="0"/>
      </c:catAx>
      <c:valAx>
        <c:axId val="72286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86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[Restaurant_Sales_Datasets.xlsx]Payment_Analysis!PivotTable5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Payment_Analysis!$B$3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4C-4724-8C0F-B169F68223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4C-4724-8C0F-B169F68223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B4C-4724-8C0F-B169F6822371}"/>
              </c:ext>
            </c:extLst>
          </c:dPt>
          <c:cat>
            <c:strRef>
              <c:f>Payment_Analysis!$A$4:$A$7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Online</c:v>
                </c:pt>
              </c:strCache>
            </c:strRef>
          </c:cat>
          <c:val>
            <c:numRef>
              <c:f>Payment_Analysis!$B$4:$B$7</c:f>
              <c:numCache>
                <c:formatCode>General</c:formatCode>
                <c:ptCount val="3"/>
                <c:pt idx="0">
                  <c:v>144</c:v>
                </c:pt>
                <c:pt idx="1">
                  <c:v>104</c:v>
                </c:pt>
                <c:pt idx="2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4C-4724-8C0F-B169F6822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[Restaurant_Sales_Datasets.xlsx]Customer_Analysis!PivotTable6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Customer_Analysis!$A$4:$A$6</c:f>
              <c:strCache>
                <c:ptCount val="2"/>
                <c:pt idx="0">
                  <c:v>New</c:v>
                </c:pt>
                <c:pt idx="1">
                  <c:v>Regular</c:v>
                </c:pt>
              </c:strCache>
            </c:strRef>
          </c:cat>
          <c:val>
            <c:numRef>
              <c:f>Customer_Analysis!$B$4:$B$6</c:f>
              <c:numCache>
                <c:formatCode>General</c:formatCode>
                <c:ptCount val="2"/>
                <c:pt idx="0">
                  <c:v>162</c:v>
                </c:pt>
                <c:pt idx="1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5-4532-93F2-994BCCB24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6865551"/>
        <c:axId val="1316850191"/>
      </c:barChart>
      <c:catAx>
        <c:axId val="131686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850191"/>
        <c:crosses val="autoZero"/>
        <c:auto val="1"/>
        <c:lblAlgn val="ctr"/>
        <c:lblOffset val="100"/>
        <c:noMultiLvlLbl val="0"/>
      </c:catAx>
      <c:valAx>
        <c:axId val="131685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86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373380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DCAD17-0AB5-4B21-9652-5AD1DECF06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</xdr:colOff>
      <xdr:row>28</xdr:row>
      <xdr:rowOff>7620</xdr:rowOff>
    </xdr:from>
    <xdr:to>
      <xdr:col>5</xdr:col>
      <xdr:colOff>403860</xdr:colOff>
      <xdr:row>43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C8095D-926B-41B3-8C2B-CCF3EB3202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5</xdr:col>
      <xdr:colOff>373380</xdr:colOff>
      <xdr:row>61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268471-3323-4199-9D6E-4E147F2AF0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601980</xdr:colOff>
      <xdr:row>46</xdr:row>
      <xdr:rowOff>7620</xdr:rowOff>
    </xdr:from>
    <xdr:to>
      <xdr:col>12</xdr:col>
      <xdr:colOff>518160</xdr:colOff>
      <xdr:row>61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67EC25-41B8-4CC0-9B44-5DC6C76081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dow" refreshedDate="46228.123904513886" createdVersion="8" refreshedVersion="8" minRefreshableVersion="3" recordCount="15" xr:uid="{5843E007-785E-4F9A-99D4-B9E38D4CCEC1}">
  <cacheSource type="worksheet">
    <worksheetSource name="Table13"/>
  </cacheSource>
  <cacheFields count="10">
    <cacheField name="Order_ID" numFmtId="0">
      <sharedItems containsSemiMixedTypes="0" containsString="0" containsNumber="1" containsInteger="1" minValue="1001" maxValue="1015"/>
    </cacheField>
    <cacheField name="Date" numFmtId="15">
      <sharedItems containsSemiMixedTypes="0" containsNonDate="0" containsDate="1" containsString="0" minDate="2026-01-01T00:00:00" maxDate="2026-03-16T00:00:00"/>
    </cacheField>
    <cacheField name="Customer_Type" numFmtId="0">
      <sharedItems count="2">
        <s v="Regular"/>
        <s v="New"/>
      </sharedItems>
    </cacheField>
    <cacheField name="Food_Category" numFmtId="0">
      <sharedItems count="4">
        <s v="Main Course"/>
        <s v="Beverage"/>
        <s v="Breakfast"/>
        <s v="Dessert"/>
      </sharedItems>
    </cacheField>
    <cacheField name="Item_Name" numFmtId="0">
      <sharedItems/>
    </cacheField>
    <cacheField name="Quantity" numFmtId="0">
      <sharedItems containsSemiMixedTypes="0" containsString="0" containsNumber="1" containsInteger="1" minValue="1" maxValue="5"/>
    </cacheField>
    <cacheField name="Price_Per_Item" numFmtId="0">
      <sharedItems containsSemiMixedTypes="0" containsString="0" containsNumber="1" containsInteger="1" minValue="2" maxValue="22"/>
    </cacheField>
    <cacheField name="Total_Sales" numFmtId="0">
      <sharedItems containsSemiMixedTypes="0" containsString="0" containsNumber="1" containsInteger="1" minValue="10" maxValue="40"/>
    </cacheField>
    <cacheField name="Payment_Method" numFmtId="0">
      <sharedItems count="3">
        <s v="Cash"/>
        <s v="Card"/>
        <s v="Online"/>
      </sharedItems>
    </cacheField>
    <cacheField name="Sales_Month" numFmtId="0">
      <sharedItems count="3">
        <s v="January"/>
        <s v="February"/>
        <s v="Marc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01"/>
    <d v="2026-01-01T00:00:00"/>
    <x v="0"/>
    <x v="0"/>
    <s v="Chicken Rice"/>
    <n v="2"/>
    <n v="15"/>
    <n v="30"/>
    <x v="0"/>
    <x v="0"/>
  </r>
  <r>
    <n v="1002"/>
    <d v="2026-01-02T00:00:00"/>
    <x v="1"/>
    <x v="1"/>
    <s v="Fresh Juice"/>
    <n v="3"/>
    <n v="5"/>
    <n v="15"/>
    <x v="1"/>
    <x v="0"/>
  </r>
  <r>
    <n v="1003"/>
    <d v="2026-01-03T00:00:00"/>
    <x v="0"/>
    <x v="2"/>
    <s v="Paratha"/>
    <n v="4"/>
    <n v="3"/>
    <n v="12"/>
    <x v="0"/>
    <x v="0"/>
  </r>
  <r>
    <n v="1004"/>
    <d v="2026-01-04T00:00:00"/>
    <x v="1"/>
    <x v="0"/>
    <s v="Biryani"/>
    <n v="2"/>
    <n v="18"/>
    <n v="36"/>
    <x v="1"/>
    <x v="0"/>
  </r>
  <r>
    <n v="1005"/>
    <d v="2026-01-05T00:00:00"/>
    <x v="0"/>
    <x v="3"/>
    <s v="Kunafa"/>
    <n v="3"/>
    <n v="8"/>
    <n v="24"/>
    <x v="0"/>
    <x v="0"/>
  </r>
  <r>
    <n v="1006"/>
    <d v="2026-02-06T00:00:00"/>
    <x v="1"/>
    <x v="0"/>
    <s v="Grilled Chicken"/>
    <n v="1"/>
    <n v="22"/>
    <n v="22"/>
    <x v="2"/>
    <x v="1"/>
  </r>
  <r>
    <n v="1007"/>
    <d v="2026-02-07T00:00:00"/>
    <x v="0"/>
    <x v="1"/>
    <s v="Tea"/>
    <n v="5"/>
    <n v="2"/>
    <n v="10"/>
    <x v="0"/>
    <x v="1"/>
  </r>
  <r>
    <n v="1008"/>
    <d v="2026-02-08T00:00:00"/>
    <x v="1"/>
    <x v="2"/>
    <s v="Egg Sandwich"/>
    <n v="3"/>
    <n v="6"/>
    <n v="18"/>
    <x v="1"/>
    <x v="1"/>
  </r>
  <r>
    <n v="1009"/>
    <d v="2026-02-09T00:00:00"/>
    <x v="0"/>
    <x v="0"/>
    <s v="Burger"/>
    <n v="2"/>
    <n v="12"/>
    <n v="24"/>
    <x v="2"/>
    <x v="1"/>
  </r>
  <r>
    <n v="1010"/>
    <d v="2026-02-10T00:00:00"/>
    <x v="1"/>
    <x v="1"/>
    <s v="Coffee"/>
    <n v="4"/>
    <n v="4"/>
    <n v="16"/>
    <x v="0"/>
    <x v="1"/>
  </r>
  <r>
    <n v="1011"/>
    <d v="2026-03-11T00:00:00"/>
    <x v="0"/>
    <x v="0"/>
    <s v="Chicken Shawarma"/>
    <n v="5"/>
    <n v="7"/>
    <n v="35"/>
    <x v="1"/>
    <x v="2"/>
  </r>
  <r>
    <n v="1012"/>
    <d v="2026-03-12T00:00:00"/>
    <x v="1"/>
    <x v="3"/>
    <s v="Ice Cream"/>
    <n v="3"/>
    <n v="5"/>
    <n v="15"/>
    <x v="2"/>
    <x v="2"/>
  </r>
  <r>
    <n v="1013"/>
    <d v="2026-03-13T00:00:00"/>
    <x v="0"/>
    <x v="2"/>
    <s v="Omelette"/>
    <n v="2"/>
    <n v="6"/>
    <n v="12"/>
    <x v="0"/>
    <x v="2"/>
  </r>
  <r>
    <n v="1014"/>
    <d v="2026-03-14T00:00:00"/>
    <x v="1"/>
    <x v="0"/>
    <s v="Fish Meal"/>
    <n v="2"/>
    <n v="20"/>
    <n v="40"/>
    <x v="1"/>
    <x v="2"/>
  </r>
  <r>
    <n v="1015"/>
    <d v="2026-03-15T00:00:00"/>
    <x v="0"/>
    <x v="1"/>
    <s v="Mango Juice"/>
    <n v="4"/>
    <n v="5"/>
    <n v="20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08B29-50A5-45FB-B0C6-5B07B09798D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6" firstHeaderRow="1" firstDataRow="1" firstDataCol="1"/>
  <pivotFields count="10">
    <pivotField showAll="0"/>
    <pivotField numFmtId="15"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CD0AD-0057-4832-A86D-C8E216AA84C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0">
    <pivotField showAll="0"/>
    <pivotField numFmtId="15"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5C25D-FDA9-4FDF-B91C-BAF50DFAFC8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0">
    <pivotField showAll="0"/>
    <pivotField numFmtId="15"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9E0AB-7471-4076-9E03-A43FA423C37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10">
    <pivotField showAll="0"/>
    <pivotField numFmtId="15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Total_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605430-1022-4C31-8115-B802B748F965}" name="Table1" displayName="Table1" ref="A1:I16" totalsRowShown="0" headerRowDxfId="22" dataDxfId="21">
  <autoFilter ref="A1:I16" xr:uid="{16605430-1022-4C31-8115-B802B748F965}"/>
  <tableColumns count="9">
    <tableColumn id="1" xr3:uid="{55E492B7-C0E4-43F6-ABD1-50F37F93E64D}" name="Order_ID" dataDxfId="20"/>
    <tableColumn id="2" xr3:uid="{D7869B8D-B4CC-4736-B42A-6D0B6D9495BD}" name="Date" dataDxfId="19"/>
    <tableColumn id="3" xr3:uid="{0EC06F45-1AC6-447C-BDD6-B7548359503C}" name="Customer_Type" dataDxfId="18"/>
    <tableColumn id="4" xr3:uid="{24524E1C-43A2-4100-A037-ABA6A1E099DB}" name="Food_Category" dataDxfId="17"/>
    <tableColumn id="5" xr3:uid="{31C5266E-3362-45EB-8193-B37C6D1680C9}" name="Item_Name" dataDxfId="16"/>
    <tableColumn id="6" xr3:uid="{0D182510-DEB9-4A72-9EDD-D35C5AB4B12D}" name="Quantity" dataDxfId="15"/>
    <tableColumn id="7" xr3:uid="{5F1B69E1-DC74-48CA-AF10-EE0EB150C28A}" name="Price_Per_Item" dataDxfId="14"/>
    <tableColumn id="8" xr3:uid="{3829D606-08E2-45BD-8B71-3037495DEC64}" name="Total_Sales" dataDxfId="13">
      <calculatedColumnFormula>Table1[[#This Row],[Quantity]]*Table1[[#This Row],[Price_Per_Item]]</calculatedColumnFormula>
    </tableColumn>
    <tableColumn id="9" xr3:uid="{8B7E35B2-6208-47AE-9C79-B336757FBDAB}" name="Payment_Method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D83A61-439B-4E34-8866-CF6B3CCC5BF3}" name="Table13" displayName="Table13" ref="A1:J16" totalsRowShown="0" headerRowDxfId="11" dataDxfId="10">
  <autoFilter ref="A1:J16" xr:uid="{E8D83A61-439B-4E34-8866-CF6B3CCC5BF3}"/>
  <tableColumns count="10">
    <tableColumn id="1" xr3:uid="{A8E48C46-4C59-4C42-A32C-FE6CDA079AF3}" name="Order_ID" dataDxfId="9"/>
    <tableColumn id="2" xr3:uid="{585911F4-59CB-4010-B652-83CD2B2CBC83}" name="Date" dataDxfId="8"/>
    <tableColumn id="3" xr3:uid="{9790C05A-2A4B-4B14-B1DA-1823BF3E2547}" name="Customer_Type" dataDxfId="7"/>
    <tableColumn id="4" xr3:uid="{848A46DE-A66D-4232-835C-976E9415EF23}" name="Food_Category" dataDxfId="6"/>
    <tableColumn id="5" xr3:uid="{43BAF25B-6ACB-4CD3-AE4F-D67104987174}" name="Item_Name" dataDxfId="5"/>
    <tableColumn id="6" xr3:uid="{E19712F3-C5B9-48AA-835E-721ACCE2311C}" name="Quantity" dataDxfId="4"/>
    <tableColumn id="7" xr3:uid="{F5911501-2B07-41D3-BC16-EFE86E5B6D24}" name="Price_Per_Item" dataDxfId="3"/>
    <tableColumn id="8" xr3:uid="{0146E884-52AC-49BF-927A-AB517B31ADCB}" name="Total_Sales" dataDxfId="2"/>
    <tableColumn id="9" xr3:uid="{1D83664E-26FC-4B6F-ABA1-DF7E17F61BC9}" name="Payment_Method" dataDxfId="1"/>
    <tableColumn id="10" xr3:uid="{6FCC4C3B-0D33-4C62-913F-1055615AE833}" name="Sales_Month" dataDxfId="0">
      <calculatedColumnFormula>TEXT(Table13[[#This Row],[Date]],"mmmm")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4EC1-9B75-46A6-ADFD-CFE4D73B1744}">
  <dimension ref="A1:I16"/>
  <sheetViews>
    <sheetView workbookViewId="0">
      <selection activeCell="D13" sqref="D13"/>
    </sheetView>
  </sheetViews>
  <sheetFormatPr defaultRowHeight="14.4" x14ac:dyDescent="0.3"/>
  <cols>
    <col min="1" max="1" width="13" style="2" bestFit="1" customWidth="1"/>
    <col min="2" max="2" width="9.6640625" style="2" bestFit="1" customWidth="1"/>
    <col min="3" max="3" width="18.77734375" style="2" bestFit="1" customWidth="1"/>
    <col min="4" max="4" width="18.33203125" style="2" bestFit="1" customWidth="1"/>
    <col min="5" max="5" width="16.44140625" style="2" bestFit="1" customWidth="1"/>
    <col min="6" max="6" width="12.77734375" style="2" bestFit="1" customWidth="1"/>
    <col min="7" max="7" width="18.33203125" style="2" bestFit="1" customWidth="1"/>
    <col min="8" max="8" width="14.88671875" style="2" bestFit="1" customWidth="1"/>
    <col min="9" max="9" width="20.88671875" style="2" bestFit="1" customWidth="1"/>
    <col min="10" max="16384" width="8.886718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1001</v>
      </c>
      <c r="B2" s="3">
        <v>46023</v>
      </c>
      <c r="C2" s="2" t="s">
        <v>9</v>
      </c>
      <c r="D2" s="2" t="s">
        <v>10</v>
      </c>
      <c r="E2" s="2" t="s">
        <v>11</v>
      </c>
      <c r="F2" s="2">
        <v>2</v>
      </c>
      <c r="G2" s="2">
        <v>15</v>
      </c>
      <c r="H2" s="2">
        <f>Table1[[#This Row],[Quantity]]*Table1[[#This Row],[Price_Per_Item]]</f>
        <v>30</v>
      </c>
      <c r="I2" s="2" t="s">
        <v>12</v>
      </c>
    </row>
    <row r="3" spans="1:9" x14ac:dyDescent="0.3">
      <c r="A3" s="2">
        <v>1002</v>
      </c>
      <c r="B3" s="3">
        <v>46024</v>
      </c>
      <c r="C3" s="2" t="s">
        <v>13</v>
      </c>
      <c r="D3" s="2" t="s">
        <v>14</v>
      </c>
      <c r="E3" s="2" t="s">
        <v>15</v>
      </c>
      <c r="F3" s="2">
        <v>3</v>
      </c>
      <c r="G3" s="2">
        <v>5</v>
      </c>
      <c r="H3" s="2">
        <f>Table1[[#This Row],[Quantity]]*Table1[[#This Row],[Price_Per_Item]]</f>
        <v>15</v>
      </c>
      <c r="I3" s="2" t="s">
        <v>16</v>
      </c>
    </row>
    <row r="4" spans="1:9" x14ac:dyDescent="0.3">
      <c r="A4" s="2">
        <v>1003</v>
      </c>
      <c r="B4" s="3">
        <v>46025</v>
      </c>
      <c r="C4" s="2" t="s">
        <v>9</v>
      </c>
      <c r="D4" s="2" t="s">
        <v>17</v>
      </c>
      <c r="E4" s="2" t="s">
        <v>18</v>
      </c>
      <c r="F4" s="2">
        <v>4</v>
      </c>
      <c r="G4" s="2">
        <v>3</v>
      </c>
      <c r="H4" s="2">
        <f>Table1[[#This Row],[Quantity]]*Table1[[#This Row],[Price_Per_Item]]</f>
        <v>12</v>
      </c>
      <c r="I4" s="2" t="s">
        <v>12</v>
      </c>
    </row>
    <row r="5" spans="1:9" x14ac:dyDescent="0.3">
      <c r="A5" s="2">
        <v>1004</v>
      </c>
      <c r="B5" s="3">
        <v>46026</v>
      </c>
      <c r="C5" s="2" t="s">
        <v>13</v>
      </c>
      <c r="D5" s="2" t="s">
        <v>10</v>
      </c>
      <c r="E5" s="2" t="s">
        <v>19</v>
      </c>
      <c r="F5" s="2">
        <v>2</v>
      </c>
      <c r="G5" s="2">
        <v>18</v>
      </c>
      <c r="H5" s="2">
        <f>Table1[[#This Row],[Quantity]]*Table1[[#This Row],[Price_Per_Item]]</f>
        <v>36</v>
      </c>
      <c r="I5" s="2" t="s">
        <v>16</v>
      </c>
    </row>
    <row r="6" spans="1:9" x14ac:dyDescent="0.3">
      <c r="A6" s="2">
        <v>1005</v>
      </c>
      <c r="B6" s="3">
        <v>46027</v>
      </c>
      <c r="C6" s="2" t="s">
        <v>9</v>
      </c>
      <c r="D6" s="2" t="s">
        <v>20</v>
      </c>
      <c r="E6" s="2" t="s">
        <v>21</v>
      </c>
      <c r="F6" s="2">
        <v>3</v>
      </c>
      <c r="G6" s="2">
        <v>8</v>
      </c>
      <c r="H6" s="2">
        <f>Table1[[#This Row],[Quantity]]*Table1[[#This Row],[Price_Per_Item]]</f>
        <v>24</v>
      </c>
      <c r="I6" s="2" t="s">
        <v>12</v>
      </c>
    </row>
    <row r="7" spans="1:9" x14ac:dyDescent="0.3">
      <c r="A7" s="2">
        <v>1006</v>
      </c>
      <c r="B7" s="3">
        <v>46059</v>
      </c>
      <c r="C7" s="2" t="s">
        <v>13</v>
      </c>
      <c r="D7" s="2" t="s">
        <v>10</v>
      </c>
      <c r="E7" s="2" t="s">
        <v>22</v>
      </c>
      <c r="F7" s="2">
        <v>1</v>
      </c>
      <c r="G7" s="2">
        <v>22</v>
      </c>
      <c r="H7" s="2">
        <f>Table1[[#This Row],[Quantity]]*Table1[[#This Row],[Price_Per_Item]]</f>
        <v>22</v>
      </c>
      <c r="I7" s="2" t="s">
        <v>23</v>
      </c>
    </row>
    <row r="8" spans="1:9" x14ac:dyDescent="0.3">
      <c r="A8" s="2">
        <v>1007</v>
      </c>
      <c r="B8" s="3">
        <v>46060</v>
      </c>
      <c r="C8" s="2" t="s">
        <v>9</v>
      </c>
      <c r="D8" s="2" t="s">
        <v>14</v>
      </c>
      <c r="E8" s="2" t="s">
        <v>24</v>
      </c>
      <c r="F8" s="2">
        <v>5</v>
      </c>
      <c r="G8" s="2">
        <v>2</v>
      </c>
      <c r="H8" s="2">
        <f>Table1[[#This Row],[Quantity]]*Table1[[#This Row],[Price_Per_Item]]</f>
        <v>10</v>
      </c>
      <c r="I8" s="2" t="s">
        <v>12</v>
      </c>
    </row>
    <row r="9" spans="1:9" x14ac:dyDescent="0.3">
      <c r="A9" s="2">
        <v>1008</v>
      </c>
      <c r="B9" s="3">
        <v>46061</v>
      </c>
      <c r="C9" s="2" t="s">
        <v>13</v>
      </c>
      <c r="D9" s="2" t="s">
        <v>17</v>
      </c>
      <c r="E9" s="2" t="s">
        <v>25</v>
      </c>
      <c r="F9" s="2">
        <v>3</v>
      </c>
      <c r="G9" s="2">
        <v>6</v>
      </c>
      <c r="H9" s="2">
        <f>Table1[[#This Row],[Quantity]]*Table1[[#This Row],[Price_Per_Item]]</f>
        <v>18</v>
      </c>
      <c r="I9" s="2" t="s">
        <v>16</v>
      </c>
    </row>
    <row r="10" spans="1:9" x14ac:dyDescent="0.3">
      <c r="A10" s="2">
        <v>1009</v>
      </c>
      <c r="B10" s="3">
        <v>46062</v>
      </c>
      <c r="C10" s="2" t="s">
        <v>9</v>
      </c>
      <c r="D10" s="2" t="s">
        <v>10</v>
      </c>
      <c r="E10" s="2" t="s">
        <v>26</v>
      </c>
      <c r="F10" s="2">
        <v>2</v>
      </c>
      <c r="G10" s="2">
        <v>12</v>
      </c>
      <c r="H10" s="2">
        <f>Table1[[#This Row],[Quantity]]*Table1[[#This Row],[Price_Per_Item]]</f>
        <v>24</v>
      </c>
      <c r="I10" s="2" t="s">
        <v>23</v>
      </c>
    </row>
    <row r="11" spans="1:9" x14ac:dyDescent="0.3">
      <c r="A11" s="2">
        <v>1010</v>
      </c>
      <c r="B11" s="3">
        <v>46063</v>
      </c>
      <c r="C11" s="2" t="s">
        <v>13</v>
      </c>
      <c r="D11" s="2" t="s">
        <v>14</v>
      </c>
      <c r="E11" s="2" t="s">
        <v>27</v>
      </c>
      <c r="F11" s="2">
        <v>4</v>
      </c>
      <c r="G11" s="2">
        <v>4</v>
      </c>
      <c r="H11" s="2">
        <f>Table1[[#This Row],[Quantity]]*Table1[[#This Row],[Price_Per_Item]]</f>
        <v>16</v>
      </c>
      <c r="I11" s="2" t="s">
        <v>12</v>
      </c>
    </row>
    <row r="12" spans="1:9" x14ac:dyDescent="0.3">
      <c r="A12" s="2">
        <v>1011</v>
      </c>
      <c r="B12" s="3">
        <v>46092</v>
      </c>
      <c r="C12" s="2" t="s">
        <v>9</v>
      </c>
      <c r="D12" s="2" t="s">
        <v>10</v>
      </c>
      <c r="E12" s="2" t="s">
        <v>28</v>
      </c>
      <c r="F12" s="2">
        <v>5</v>
      </c>
      <c r="G12" s="2">
        <v>7</v>
      </c>
      <c r="H12" s="2">
        <f>Table1[[#This Row],[Quantity]]*Table1[[#This Row],[Price_Per_Item]]</f>
        <v>35</v>
      </c>
      <c r="I12" s="2" t="s">
        <v>16</v>
      </c>
    </row>
    <row r="13" spans="1:9" x14ac:dyDescent="0.3">
      <c r="A13" s="2">
        <v>1012</v>
      </c>
      <c r="B13" s="3">
        <v>46093</v>
      </c>
      <c r="C13" s="2" t="s">
        <v>13</v>
      </c>
      <c r="D13" s="2" t="s">
        <v>20</v>
      </c>
      <c r="E13" s="2" t="s">
        <v>29</v>
      </c>
      <c r="F13" s="2">
        <v>3</v>
      </c>
      <c r="G13" s="2">
        <v>5</v>
      </c>
      <c r="H13" s="2">
        <f>Table1[[#This Row],[Quantity]]*Table1[[#This Row],[Price_Per_Item]]</f>
        <v>15</v>
      </c>
      <c r="I13" s="2" t="s">
        <v>23</v>
      </c>
    </row>
    <row r="14" spans="1:9" x14ac:dyDescent="0.3">
      <c r="A14" s="2">
        <v>1013</v>
      </c>
      <c r="B14" s="3">
        <v>46094</v>
      </c>
      <c r="C14" s="2" t="s">
        <v>9</v>
      </c>
      <c r="D14" s="2" t="s">
        <v>17</v>
      </c>
      <c r="E14" s="2" t="s">
        <v>30</v>
      </c>
      <c r="F14" s="2">
        <v>2</v>
      </c>
      <c r="G14" s="2">
        <v>6</v>
      </c>
      <c r="H14" s="2">
        <f>Table1[[#This Row],[Quantity]]*Table1[[#This Row],[Price_Per_Item]]</f>
        <v>12</v>
      </c>
      <c r="I14" s="2" t="s">
        <v>12</v>
      </c>
    </row>
    <row r="15" spans="1:9" x14ac:dyDescent="0.3">
      <c r="A15" s="2">
        <v>1014</v>
      </c>
      <c r="B15" s="3">
        <v>46095</v>
      </c>
      <c r="C15" s="2" t="s">
        <v>13</v>
      </c>
      <c r="D15" s="2" t="s">
        <v>10</v>
      </c>
      <c r="E15" s="2" t="s">
        <v>31</v>
      </c>
      <c r="F15" s="2">
        <v>2</v>
      </c>
      <c r="G15" s="2">
        <v>20</v>
      </c>
      <c r="H15" s="2">
        <f>Table1[[#This Row],[Quantity]]*Table1[[#This Row],[Price_Per_Item]]</f>
        <v>40</v>
      </c>
      <c r="I15" s="2" t="s">
        <v>16</v>
      </c>
    </row>
    <row r="16" spans="1:9" x14ac:dyDescent="0.3">
      <c r="A16" s="2">
        <v>1015</v>
      </c>
      <c r="B16" s="3">
        <v>46096</v>
      </c>
      <c r="C16" s="2" t="s">
        <v>9</v>
      </c>
      <c r="D16" s="2" t="s">
        <v>14</v>
      </c>
      <c r="E16" s="2" t="s">
        <v>32</v>
      </c>
      <c r="F16" s="2">
        <v>4</v>
      </c>
      <c r="G16" s="2">
        <v>5</v>
      </c>
      <c r="H16" s="2">
        <f>Table1[[#This Row],[Quantity]]*Table1[[#This Row],[Price_Per_Item]]</f>
        <v>20</v>
      </c>
      <c r="I16" s="2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A3A85-D759-47D9-B6EE-D5CBA634E0C9}">
  <dimension ref="A1:J16"/>
  <sheetViews>
    <sheetView workbookViewId="0">
      <selection activeCell="D13" sqref="D13"/>
    </sheetView>
  </sheetViews>
  <sheetFormatPr defaultRowHeight="14.4" x14ac:dyDescent="0.3"/>
  <cols>
    <col min="1" max="1" width="13" style="2" bestFit="1" customWidth="1"/>
    <col min="2" max="2" width="9.6640625" style="2" bestFit="1" customWidth="1"/>
    <col min="3" max="3" width="18.77734375" style="2" bestFit="1" customWidth="1"/>
    <col min="4" max="4" width="18.33203125" style="2" bestFit="1" customWidth="1"/>
    <col min="5" max="5" width="16.44140625" style="2" bestFit="1" customWidth="1"/>
    <col min="6" max="6" width="12.77734375" style="2" bestFit="1" customWidth="1"/>
    <col min="7" max="7" width="18.33203125" style="2" bestFit="1" customWidth="1"/>
    <col min="8" max="8" width="14.88671875" style="2" bestFit="1" customWidth="1"/>
    <col min="9" max="9" width="20.88671875" style="2" bestFit="1" customWidth="1"/>
    <col min="10" max="10" width="16.44140625" style="2" bestFit="1" customWidth="1"/>
    <col min="11" max="16384" width="8.88671875" style="2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33</v>
      </c>
    </row>
    <row r="2" spans="1:10" x14ac:dyDescent="0.3">
      <c r="A2" s="2">
        <v>1001</v>
      </c>
      <c r="B2" s="3">
        <v>46023</v>
      </c>
      <c r="C2" s="2" t="s">
        <v>9</v>
      </c>
      <c r="D2" s="2" t="s">
        <v>10</v>
      </c>
      <c r="E2" s="2" t="s">
        <v>11</v>
      </c>
      <c r="F2" s="2">
        <v>2</v>
      </c>
      <c r="G2" s="2">
        <v>15</v>
      </c>
      <c r="H2" s="2">
        <v>30</v>
      </c>
      <c r="I2" s="2" t="s">
        <v>12</v>
      </c>
      <c r="J2" s="2" t="str">
        <f>TEXT(Table13[[#This Row],[Date]],"mmmm")</f>
        <v>January</v>
      </c>
    </row>
    <row r="3" spans="1:10" x14ac:dyDescent="0.3">
      <c r="A3" s="2">
        <v>1002</v>
      </c>
      <c r="B3" s="3">
        <v>46024</v>
      </c>
      <c r="C3" s="2" t="s">
        <v>13</v>
      </c>
      <c r="D3" s="2" t="s">
        <v>14</v>
      </c>
      <c r="E3" s="2" t="s">
        <v>15</v>
      </c>
      <c r="F3" s="2">
        <v>3</v>
      </c>
      <c r="G3" s="2">
        <v>5</v>
      </c>
      <c r="H3" s="2">
        <v>15</v>
      </c>
      <c r="I3" s="2" t="s">
        <v>16</v>
      </c>
      <c r="J3" s="2" t="str">
        <f>TEXT(Table13[[#This Row],[Date]],"mmmm")</f>
        <v>January</v>
      </c>
    </row>
    <row r="4" spans="1:10" x14ac:dyDescent="0.3">
      <c r="A4" s="2">
        <v>1003</v>
      </c>
      <c r="B4" s="3">
        <v>46025</v>
      </c>
      <c r="C4" s="2" t="s">
        <v>9</v>
      </c>
      <c r="D4" s="2" t="s">
        <v>17</v>
      </c>
      <c r="E4" s="2" t="s">
        <v>18</v>
      </c>
      <c r="F4" s="2">
        <v>4</v>
      </c>
      <c r="G4" s="2">
        <v>3</v>
      </c>
      <c r="H4" s="2">
        <v>12</v>
      </c>
      <c r="I4" s="2" t="s">
        <v>12</v>
      </c>
      <c r="J4" s="2" t="str">
        <f>TEXT(Table13[[#This Row],[Date]],"mmmm")</f>
        <v>January</v>
      </c>
    </row>
    <row r="5" spans="1:10" x14ac:dyDescent="0.3">
      <c r="A5" s="2">
        <v>1004</v>
      </c>
      <c r="B5" s="3">
        <v>46026</v>
      </c>
      <c r="C5" s="2" t="s">
        <v>13</v>
      </c>
      <c r="D5" s="2" t="s">
        <v>10</v>
      </c>
      <c r="E5" s="2" t="s">
        <v>19</v>
      </c>
      <c r="F5" s="2">
        <v>2</v>
      </c>
      <c r="G5" s="2">
        <v>18</v>
      </c>
      <c r="H5" s="2">
        <v>36</v>
      </c>
      <c r="I5" s="2" t="s">
        <v>16</v>
      </c>
      <c r="J5" s="2" t="str">
        <f>TEXT(Table13[[#This Row],[Date]],"mmmm")</f>
        <v>January</v>
      </c>
    </row>
    <row r="6" spans="1:10" x14ac:dyDescent="0.3">
      <c r="A6" s="2">
        <v>1005</v>
      </c>
      <c r="B6" s="3">
        <v>46027</v>
      </c>
      <c r="C6" s="2" t="s">
        <v>9</v>
      </c>
      <c r="D6" s="2" t="s">
        <v>20</v>
      </c>
      <c r="E6" s="2" t="s">
        <v>21</v>
      </c>
      <c r="F6" s="2">
        <v>3</v>
      </c>
      <c r="G6" s="2">
        <v>8</v>
      </c>
      <c r="H6" s="2">
        <v>24</v>
      </c>
      <c r="I6" s="2" t="s">
        <v>12</v>
      </c>
      <c r="J6" s="2" t="str">
        <f>TEXT(Table13[[#This Row],[Date]],"mmmm")</f>
        <v>January</v>
      </c>
    </row>
    <row r="7" spans="1:10" x14ac:dyDescent="0.3">
      <c r="A7" s="2">
        <v>1006</v>
      </c>
      <c r="B7" s="3">
        <v>46059</v>
      </c>
      <c r="C7" s="2" t="s">
        <v>13</v>
      </c>
      <c r="D7" s="2" t="s">
        <v>10</v>
      </c>
      <c r="E7" s="2" t="s">
        <v>22</v>
      </c>
      <c r="F7" s="2">
        <v>1</v>
      </c>
      <c r="G7" s="2">
        <v>22</v>
      </c>
      <c r="H7" s="2">
        <v>22</v>
      </c>
      <c r="I7" s="2" t="s">
        <v>23</v>
      </c>
      <c r="J7" s="2" t="str">
        <f>TEXT(Table13[[#This Row],[Date]],"mmmm")</f>
        <v>February</v>
      </c>
    </row>
    <row r="8" spans="1:10" x14ac:dyDescent="0.3">
      <c r="A8" s="2">
        <v>1007</v>
      </c>
      <c r="B8" s="3">
        <v>46060</v>
      </c>
      <c r="C8" s="2" t="s">
        <v>9</v>
      </c>
      <c r="D8" s="2" t="s">
        <v>14</v>
      </c>
      <c r="E8" s="2" t="s">
        <v>24</v>
      </c>
      <c r="F8" s="2">
        <v>5</v>
      </c>
      <c r="G8" s="2">
        <v>2</v>
      </c>
      <c r="H8" s="2">
        <v>10</v>
      </c>
      <c r="I8" s="2" t="s">
        <v>12</v>
      </c>
      <c r="J8" s="2" t="str">
        <f>TEXT(Table13[[#This Row],[Date]],"mmmm")</f>
        <v>February</v>
      </c>
    </row>
    <row r="9" spans="1:10" x14ac:dyDescent="0.3">
      <c r="A9" s="2">
        <v>1008</v>
      </c>
      <c r="B9" s="3">
        <v>46061</v>
      </c>
      <c r="C9" s="2" t="s">
        <v>13</v>
      </c>
      <c r="D9" s="2" t="s">
        <v>17</v>
      </c>
      <c r="E9" s="2" t="s">
        <v>25</v>
      </c>
      <c r="F9" s="2">
        <v>3</v>
      </c>
      <c r="G9" s="2">
        <v>6</v>
      </c>
      <c r="H9" s="2">
        <v>18</v>
      </c>
      <c r="I9" s="2" t="s">
        <v>16</v>
      </c>
      <c r="J9" s="2" t="str">
        <f>TEXT(Table13[[#This Row],[Date]],"mmmm")</f>
        <v>February</v>
      </c>
    </row>
    <row r="10" spans="1:10" x14ac:dyDescent="0.3">
      <c r="A10" s="2">
        <v>1009</v>
      </c>
      <c r="B10" s="3">
        <v>46062</v>
      </c>
      <c r="C10" s="2" t="s">
        <v>9</v>
      </c>
      <c r="D10" s="2" t="s">
        <v>10</v>
      </c>
      <c r="E10" s="2" t="s">
        <v>26</v>
      </c>
      <c r="F10" s="2">
        <v>2</v>
      </c>
      <c r="G10" s="2">
        <v>12</v>
      </c>
      <c r="H10" s="2">
        <v>24</v>
      </c>
      <c r="I10" s="2" t="s">
        <v>23</v>
      </c>
      <c r="J10" s="2" t="str">
        <f>TEXT(Table13[[#This Row],[Date]],"mmmm")</f>
        <v>February</v>
      </c>
    </row>
    <row r="11" spans="1:10" x14ac:dyDescent="0.3">
      <c r="A11" s="2">
        <v>1010</v>
      </c>
      <c r="B11" s="3">
        <v>46063</v>
      </c>
      <c r="C11" s="2" t="s">
        <v>13</v>
      </c>
      <c r="D11" s="2" t="s">
        <v>14</v>
      </c>
      <c r="E11" s="2" t="s">
        <v>27</v>
      </c>
      <c r="F11" s="2">
        <v>4</v>
      </c>
      <c r="G11" s="2">
        <v>4</v>
      </c>
      <c r="H11" s="2">
        <v>16</v>
      </c>
      <c r="I11" s="2" t="s">
        <v>12</v>
      </c>
      <c r="J11" s="2" t="str">
        <f>TEXT(Table13[[#This Row],[Date]],"mmmm")</f>
        <v>February</v>
      </c>
    </row>
    <row r="12" spans="1:10" x14ac:dyDescent="0.3">
      <c r="A12" s="2">
        <v>1011</v>
      </c>
      <c r="B12" s="3">
        <v>46092</v>
      </c>
      <c r="C12" s="2" t="s">
        <v>9</v>
      </c>
      <c r="D12" s="2" t="s">
        <v>10</v>
      </c>
      <c r="E12" s="2" t="s">
        <v>28</v>
      </c>
      <c r="F12" s="2">
        <v>5</v>
      </c>
      <c r="G12" s="2">
        <v>7</v>
      </c>
      <c r="H12" s="2">
        <v>35</v>
      </c>
      <c r="I12" s="2" t="s">
        <v>16</v>
      </c>
      <c r="J12" s="2" t="str">
        <f>TEXT(Table13[[#This Row],[Date]],"mmmm")</f>
        <v>March</v>
      </c>
    </row>
    <row r="13" spans="1:10" x14ac:dyDescent="0.3">
      <c r="A13" s="2">
        <v>1012</v>
      </c>
      <c r="B13" s="3">
        <v>46093</v>
      </c>
      <c r="C13" s="2" t="s">
        <v>13</v>
      </c>
      <c r="D13" s="2" t="s">
        <v>20</v>
      </c>
      <c r="E13" s="2" t="s">
        <v>29</v>
      </c>
      <c r="F13" s="2">
        <v>3</v>
      </c>
      <c r="G13" s="2">
        <v>5</v>
      </c>
      <c r="H13" s="2">
        <v>15</v>
      </c>
      <c r="I13" s="2" t="s">
        <v>23</v>
      </c>
      <c r="J13" s="2" t="str">
        <f>TEXT(Table13[[#This Row],[Date]],"mmmm")</f>
        <v>March</v>
      </c>
    </row>
    <row r="14" spans="1:10" x14ac:dyDescent="0.3">
      <c r="A14" s="2">
        <v>1013</v>
      </c>
      <c r="B14" s="3">
        <v>46094</v>
      </c>
      <c r="C14" s="2" t="s">
        <v>9</v>
      </c>
      <c r="D14" s="2" t="s">
        <v>17</v>
      </c>
      <c r="E14" s="2" t="s">
        <v>30</v>
      </c>
      <c r="F14" s="2">
        <v>2</v>
      </c>
      <c r="G14" s="2">
        <v>6</v>
      </c>
      <c r="H14" s="2">
        <v>12</v>
      </c>
      <c r="I14" s="2" t="s">
        <v>12</v>
      </c>
      <c r="J14" s="2" t="str">
        <f>TEXT(Table13[[#This Row],[Date]],"mmmm")</f>
        <v>March</v>
      </c>
    </row>
    <row r="15" spans="1:10" x14ac:dyDescent="0.3">
      <c r="A15" s="2">
        <v>1014</v>
      </c>
      <c r="B15" s="3">
        <v>46095</v>
      </c>
      <c r="C15" s="2" t="s">
        <v>13</v>
      </c>
      <c r="D15" s="2" t="s">
        <v>10</v>
      </c>
      <c r="E15" s="2" t="s">
        <v>31</v>
      </c>
      <c r="F15" s="2">
        <v>2</v>
      </c>
      <c r="G15" s="2">
        <v>20</v>
      </c>
      <c r="H15" s="2">
        <v>40</v>
      </c>
      <c r="I15" s="2" t="s">
        <v>16</v>
      </c>
      <c r="J15" s="2" t="str">
        <f>TEXT(Table13[[#This Row],[Date]],"mmmm")</f>
        <v>March</v>
      </c>
    </row>
    <row r="16" spans="1:10" x14ac:dyDescent="0.3">
      <c r="A16" s="2">
        <v>1015</v>
      </c>
      <c r="B16" s="3">
        <v>46096</v>
      </c>
      <c r="C16" s="2" t="s">
        <v>9</v>
      </c>
      <c r="D16" s="2" t="s">
        <v>14</v>
      </c>
      <c r="E16" s="2" t="s">
        <v>32</v>
      </c>
      <c r="F16" s="2">
        <v>4</v>
      </c>
      <c r="G16" s="2">
        <v>5</v>
      </c>
      <c r="H16" s="2">
        <v>20</v>
      </c>
      <c r="I16" s="2" t="s">
        <v>23</v>
      </c>
      <c r="J16" s="2" t="str">
        <f>TEXT(Table13[[#This Row],[Date]],"mmmm")</f>
        <v>March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1945-60C1-4FEC-B610-FE6526D022C2}">
  <dimension ref="A1:B5"/>
  <sheetViews>
    <sheetView workbookViewId="0">
      <selection activeCell="B3" sqref="B3"/>
    </sheetView>
  </sheetViews>
  <sheetFormatPr defaultRowHeight="14.4" x14ac:dyDescent="0.3"/>
  <cols>
    <col min="1" max="1" width="17.88671875" bestFit="1" customWidth="1"/>
    <col min="2" max="2" width="5.5546875" bestFit="1" customWidth="1"/>
  </cols>
  <sheetData>
    <row r="1" spans="1:2" x14ac:dyDescent="0.3">
      <c r="A1" s="5" t="s">
        <v>34</v>
      </c>
      <c r="B1" s="5" t="s">
        <v>35</v>
      </c>
    </row>
    <row r="2" spans="1:2" x14ac:dyDescent="0.3">
      <c r="A2" s="4" t="s">
        <v>36</v>
      </c>
      <c r="B2" s="4">
        <f>SUM(Clean_Data!H:H)</f>
        <v>329</v>
      </c>
    </row>
    <row r="3" spans="1:2" x14ac:dyDescent="0.3">
      <c r="A3" s="4" t="s">
        <v>37</v>
      </c>
      <c r="B3" s="4">
        <f>COUNTA(Clean_Data!A:A)-1</f>
        <v>15</v>
      </c>
    </row>
    <row r="4" spans="1:2" x14ac:dyDescent="0.3">
      <c r="A4" s="4" t="s">
        <v>38</v>
      </c>
      <c r="B4" s="4">
        <f>AVERAGE(Clean_Data!H:H)</f>
        <v>21.933333333333334</v>
      </c>
    </row>
    <row r="5" spans="1:2" x14ac:dyDescent="0.3">
      <c r="A5" s="4" t="s">
        <v>39</v>
      </c>
      <c r="B5" s="4">
        <f>SUM(Clean_Data!F:F)</f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0719A-8B2F-495D-BB67-BB7471A1D48C}">
  <dimension ref="A1:B6"/>
  <sheetViews>
    <sheetView workbookViewId="0">
      <selection activeCell="M11" sqref="M11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1" spans="1:2" x14ac:dyDescent="0.3">
      <c r="A1" s="6" t="s">
        <v>40</v>
      </c>
      <c r="B1" t="s">
        <v>42</v>
      </c>
    </row>
    <row r="2" spans="1:2" x14ac:dyDescent="0.3">
      <c r="A2" s="7" t="s">
        <v>14</v>
      </c>
      <c r="B2">
        <v>61</v>
      </c>
    </row>
    <row r="3" spans="1:2" x14ac:dyDescent="0.3">
      <c r="A3" s="7" t="s">
        <v>17</v>
      </c>
      <c r="B3">
        <v>42</v>
      </c>
    </row>
    <row r="4" spans="1:2" x14ac:dyDescent="0.3">
      <c r="A4" s="7" t="s">
        <v>20</v>
      </c>
      <c r="B4">
        <v>39</v>
      </c>
    </row>
    <row r="5" spans="1:2" x14ac:dyDescent="0.3">
      <c r="A5" s="7" t="s">
        <v>10</v>
      </c>
      <c r="B5">
        <v>187</v>
      </c>
    </row>
    <row r="6" spans="1:2" x14ac:dyDescent="0.3">
      <c r="A6" s="7" t="s">
        <v>41</v>
      </c>
      <c r="B6">
        <v>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120E9-7674-4742-87FD-9E35A92D11B1}">
  <dimension ref="A3:B7"/>
  <sheetViews>
    <sheetView workbookViewId="0">
      <selection activeCell="M11" sqref="M11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6" t="s">
        <v>40</v>
      </c>
      <c r="B3" t="s">
        <v>42</v>
      </c>
    </row>
    <row r="4" spans="1:2" x14ac:dyDescent="0.3">
      <c r="A4" s="7" t="s">
        <v>43</v>
      </c>
      <c r="B4">
        <v>117</v>
      </c>
    </row>
    <row r="5" spans="1:2" x14ac:dyDescent="0.3">
      <c r="A5" s="7" t="s">
        <v>44</v>
      </c>
      <c r="B5">
        <v>90</v>
      </c>
    </row>
    <row r="6" spans="1:2" x14ac:dyDescent="0.3">
      <c r="A6" s="7" t="s">
        <v>45</v>
      </c>
      <c r="B6">
        <v>122</v>
      </c>
    </row>
    <row r="7" spans="1:2" x14ac:dyDescent="0.3">
      <c r="A7" s="7" t="s">
        <v>41</v>
      </c>
      <c r="B7">
        <v>329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7415F-2ACC-4880-B6AB-745F71DBC8B5}">
  <dimension ref="A3:B7"/>
  <sheetViews>
    <sheetView workbookViewId="0">
      <selection activeCell="N9" sqref="N9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6" t="s">
        <v>40</v>
      </c>
      <c r="B3" t="s">
        <v>42</v>
      </c>
    </row>
    <row r="4" spans="1:2" x14ac:dyDescent="0.3">
      <c r="A4" s="7" t="s">
        <v>16</v>
      </c>
      <c r="B4">
        <v>144</v>
      </c>
    </row>
    <row r="5" spans="1:2" x14ac:dyDescent="0.3">
      <c r="A5" s="7" t="s">
        <v>12</v>
      </c>
      <c r="B5">
        <v>104</v>
      </c>
    </row>
    <row r="6" spans="1:2" x14ac:dyDescent="0.3">
      <c r="A6" s="7" t="s">
        <v>23</v>
      </c>
      <c r="B6">
        <v>81</v>
      </c>
    </row>
    <row r="7" spans="1:2" x14ac:dyDescent="0.3">
      <c r="A7" s="7" t="s">
        <v>41</v>
      </c>
      <c r="B7">
        <v>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183F-A1F4-4AC6-8958-1AEEADEE9AED}">
  <dimension ref="A3:B6"/>
  <sheetViews>
    <sheetView workbookViewId="0">
      <selection activeCell="H28" sqref="H28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6" t="s">
        <v>40</v>
      </c>
      <c r="B3" t="s">
        <v>42</v>
      </c>
    </row>
    <row r="4" spans="1:2" x14ac:dyDescent="0.3">
      <c r="A4" s="7" t="s">
        <v>13</v>
      </c>
      <c r="B4">
        <v>162</v>
      </c>
    </row>
    <row r="5" spans="1:2" x14ac:dyDescent="0.3">
      <c r="A5" s="7" t="s">
        <v>9</v>
      </c>
      <c r="B5">
        <v>167</v>
      </c>
    </row>
    <row r="6" spans="1:2" x14ac:dyDescent="0.3">
      <c r="A6" s="7" t="s">
        <v>41</v>
      </c>
      <c r="B6">
        <v>329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548F7-70AF-4452-A809-37D49DD51A8D}">
  <dimension ref="A1:H46"/>
  <sheetViews>
    <sheetView tabSelected="1" workbookViewId="0">
      <selection activeCell="G8" sqref="G8"/>
    </sheetView>
  </sheetViews>
  <sheetFormatPr defaultRowHeight="14.4" x14ac:dyDescent="0.3"/>
  <cols>
    <col min="1" max="1" width="25.6640625" bestFit="1" customWidth="1"/>
    <col min="8" max="8" width="23.44140625" bestFit="1" customWidth="1"/>
  </cols>
  <sheetData>
    <row r="1" spans="1:6" ht="21" x14ac:dyDescent="0.3">
      <c r="A1" s="9" t="s">
        <v>46</v>
      </c>
      <c r="B1" s="9"/>
      <c r="C1" s="9"/>
      <c r="D1" s="9"/>
      <c r="E1" s="9"/>
      <c r="F1" s="9"/>
    </row>
    <row r="2" spans="1:6" x14ac:dyDescent="0.3">
      <c r="A2" s="10" t="s">
        <v>56</v>
      </c>
      <c r="B2" s="10"/>
      <c r="C2" s="10"/>
      <c r="D2" s="10"/>
      <c r="E2" s="10"/>
      <c r="F2" s="10"/>
    </row>
    <row r="4" spans="1:6" x14ac:dyDescent="0.3">
      <c r="A4" t="s">
        <v>34</v>
      </c>
      <c r="B4" t="s">
        <v>51</v>
      </c>
      <c r="C4" t="s">
        <v>34</v>
      </c>
      <c r="E4" t="s">
        <v>51</v>
      </c>
    </row>
    <row r="6" spans="1:6" x14ac:dyDescent="0.3">
      <c r="A6" t="s">
        <v>47</v>
      </c>
      <c r="B6" s="8">
        <f>Dashboard_KPI!B2</f>
        <v>329</v>
      </c>
      <c r="C6" t="s">
        <v>48</v>
      </c>
      <c r="E6" s="8">
        <f>Dashboard_KPI!B3</f>
        <v>15</v>
      </c>
    </row>
    <row r="8" spans="1:6" x14ac:dyDescent="0.3">
      <c r="A8" t="s">
        <v>49</v>
      </c>
      <c r="B8" s="8">
        <f>Dashboard_KPI!B4</f>
        <v>21.933333333333334</v>
      </c>
      <c r="C8" t="s">
        <v>50</v>
      </c>
      <c r="E8" s="8">
        <f>Dashboard_KPI!B5</f>
        <v>45</v>
      </c>
    </row>
    <row r="10" spans="1:6" x14ac:dyDescent="0.3">
      <c r="A10" t="s">
        <v>52</v>
      </c>
    </row>
    <row r="28" spans="1:1" x14ac:dyDescent="0.3">
      <c r="A28" t="s">
        <v>53</v>
      </c>
    </row>
    <row r="46" spans="1:8" x14ac:dyDescent="0.3">
      <c r="A46" t="s">
        <v>54</v>
      </c>
      <c r="H46" t="s">
        <v>55</v>
      </c>
    </row>
  </sheetData>
  <mergeCells count="2">
    <mergeCell ref="A1:F1"/>
    <mergeCell ref="A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Data</vt:lpstr>
      <vt:lpstr>Clean_Data</vt:lpstr>
      <vt:lpstr>Dashboard_KPI</vt:lpstr>
      <vt:lpstr>Category_Analysis</vt:lpstr>
      <vt:lpstr>Monthly_Sales_Analysis</vt:lpstr>
      <vt:lpstr>Payment_Analysis</vt:lpstr>
      <vt:lpstr>Customer_Analysis</vt:lpstr>
      <vt:lpstr>Restaurant_Dashboard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Rehan Ali</dc:creator>
  <cp:lastModifiedBy>Mohammad Rehan Ali</cp:lastModifiedBy>
  <dcterms:created xsi:type="dcterms:W3CDTF">2026-07-24T22:24:06Z</dcterms:created>
  <dcterms:modified xsi:type="dcterms:W3CDTF">2026-07-25T00:10:46Z</dcterms:modified>
</cp:coreProperties>
</file>